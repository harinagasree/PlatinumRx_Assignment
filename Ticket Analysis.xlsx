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4"/>
    <sheet state="visible" name="Pivot Table 1" sheetId="2" r:id="rId5"/>
    <sheet state="visible" name="feedbacks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<sst xmlns="http://schemas.openxmlformats.org/spreadsheetml/2006/main" count="110" uniqueCount="70">
  <si>
    <t>ticket_id</t>
  </si>
  <si>
    <t>created_at</t>
  </si>
  <si>
    <t>closed_at</t>
  </si>
  <si>
    <t>outlet_id</t>
  </si>
  <si>
    <t>cms_id</t>
  </si>
  <si>
    <t>Same_Day?</t>
  </si>
  <si>
    <t>Same_Hour?</t>
  </si>
  <si>
    <t>isu-sjd-457</t>
  </si>
  <si>
    <t>wrqy-juv-978</t>
  </si>
  <si>
    <t>vew-iuvd-12</t>
  </si>
  <si>
    <t>qer-fal-092</t>
  </si>
  <si>
    <t>8woh-k3u-23b</t>
  </si>
  <si>
    <t>kbj-pecf-42</t>
  </si>
  <si>
    <t>isu-sjd-458</t>
  </si>
  <si>
    <t>bckt-klj-1ct</t>
  </si>
  <si>
    <t>vew-iuvd-13</t>
  </si>
  <si>
    <t>qer-fal-093</t>
  </si>
  <si>
    <t>5tpc-qpd-dr1</t>
  </si>
  <si>
    <t>kbj-pecf-43</t>
  </si>
  <si>
    <t>isu-sjd-459</t>
  </si>
  <si>
    <t>mxqr-lta-7kp</t>
  </si>
  <si>
    <t>vew-iuvd-14</t>
  </si>
  <si>
    <t>qer-fal-094</t>
  </si>
  <si>
    <t>vdlg-wqf-92m</t>
  </si>
  <si>
    <t>kbj-pecf-44</t>
  </si>
  <si>
    <t>isu-sjd-460</t>
  </si>
  <si>
    <t>rjtn-pkc-4db</t>
  </si>
  <si>
    <t>vew-iuvd-15</t>
  </si>
  <si>
    <t>qer-fal-095</t>
  </si>
  <si>
    <t>kpue-zlm-8tq</t>
  </si>
  <si>
    <t>kbj-pecf-45</t>
  </si>
  <si>
    <t>isu-sjd-461</t>
  </si>
  <si>
    <t>sqmn-hde-19c</t>
  </si>
  <si>
    <t>vew-iuvd-16</t>
  </si>
  <si>
    <t>qer-fal-096</t>
  </si>
  <si>
    <t>twbf-rsj-77a</t>
  </si>
  <si>
    <t>kbj-pecf-46</t>
  </si>
  <si>
    <t>isu-sjd-462</t>
  </si>
  <si>
    <t>ghyp-nqv-53t</t>
  </si>
  <si>
    <t>vew-iuvd-17</t>
  </si>
  <si>
    <t>qer-fal-097</t>
  </si>
  <si>
    <t>cbrl-kdu-6yx</t>
  </si>
  <si>
    <t>kbj-pecf-47</t>
  </si>
  <si>
    <t>isu-sjd-463</t>
  </si>
  <si>
    <t>lqtp-bsm-03r</t>
  </si>
  <si>
    <t>vew-iuvd-18</t>
  </si>
  <si>
    <t>qer-fal-098</t>
  </si>
  <si>
    <t>yhnc-vqp-2kd</t>
  </si>
  <si>
    <t>kbj-pecf-48</t>
  </si>
  <si>
    <t>isu-sjd-464</t>
  </si>
  <si>
    <t>frme-jlt-89b</t>
  </si>
  <si>
    <t>vew-iuvd-19</t>
  </si>
  <si>
    <t>qer-fal-099</t>
  </si>
  <si>
    <t>wdnk-rpv-14e</t>
  </si>
  <si>
    <t>kbj-pecf-49</t>
  </si>
  <si>
    <t>isu-sjd-465</t>
  </si>
  <si>
    <t>zqhv-mss-6gb</t>
  </si>
  <si>
    <t>vew-iuvd-20</t>
  </si>
  <si>
    <t>qer-fal-100</t>
  </si>
  <si>
    <t>nbtu-kfr-51w</t>
  </si>
  <si>
    <t>kbj-pecf-50</t>
  </si>
  <si>
    <t>isu-sjd-466</t>
  </si>
  <si>
    <t>pkgt-ypt-22k</t>
  </si>
  <si>
    <t>vew-iuvd-21</t>
  </si>
  <si>
    <t>SUM of Same_Day?</t>
  </si>
  <si>
    <t>SUM of Same_Hour?</t>
  </si>
  <si>
    <t>Grand Total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</si>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</sst>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&quot;-&quot;mm&quot;-&quot;dd&quot;  &quot;h&quot;:&quot;mm&quot;:&quot;ss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  <font>
      <i/>
      <color rgb="FF3C4042"/>
      <name val="Roboto"/>
    </font>
    <font>
      <color theme="1"/>
      <name val="Arial"/>
      <scheme val="minor"/>
    </font>
    <font>
      <sz val="11.0"/>
      <color rgb="FF000000"/>
      <name val="Arial"/>
    </font>
    <font>
      <i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Font="1"/>
    <xf borderId="0" fillId="0" fontId="5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i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dbac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" sheet="tickets"/>
  </cacheSource>
  <cacheFields>
    <cacheField name="ticket_id" numFmtId="0">
      <sharedItems>
        <s v="isu-sjd-457"/>
        <s v="qer-fal-092"/>
        <s v="isu-sjd-458"/>
        <s v="qer-fal-093"/>
        <s v="isu-sjd-459"/>
        <s v="qer-fal-094"/>
        <s v="isu-sjd-460"/>
        <s v="qer-fal-095"/>
        <s v="isu-sjd-461"/>
        <s v="qer-fal-096"/>
        <s v="isu-sjd-462"/>
        <s v="qer-fal-097"/>
        <s v="isu-sjd-463"/>
        <s v="qer-fal-098"/>
        <s v="isu-sjd-464"/>
        <s v="qer-fal-099"/>
        <s v="isu-sjd-465"/>
        <s v="qer-fal-100"/>
        <s v="isu-sjd-466"/>
      </sharedItems>
    </cacheField>
    <cacheField name="created_at" numFmtId="164">
      <sharedItems containsSemiMixedTypes="0" containsDate="1" containsString="0">
        <d v="2021-08-19T16:45:43Z"/>
        <d v="2021-08-21T11:09:22Z"/>
        <d v="2021-08-23T05:33:01Z"/>
        <d v="2021-08-24T23:56:40Z"/>
        <d v="2021-08-26T18:20:19Z"/>
        <d v="2021-08-28T12:43:58Z"/>
        <d v="2021-08-30T07:07:37Z"/>
        <d v="2021-09-01T01:31:16Z"/>
        <d v="2021-09-02T19:24:55Z"/>
        <d v="2021-09-04T14:18:34Z"/>
        <d v="2021-09-06T08:42:13Z"/>
        <d v="2021-09-08T03:05:52Z"/>
        <d v="2021-09-09T21:29:31Z"/>
        <d v="2021-09-11T15:53:10Z"/>
        <d v="2021-09-13T10:16:49Z"/>
        <d v="2021-09-15T04:40:28Z"/>
        <d v="2021-09-16T23:04:07Z"/>
        <d v="2021-09-18T17:27:46Z"/>
        <d v="2021-09-20T11:51:25Z"/>
      </sharedItems>
    </cacheField>
    <cacheField name="closed_at" numFmtId="164">
      <sharedItems containsSemiMixedTypes="0" containsDate="1" containsString="0">
        <d v="2021-08-22T12:33:32Z"/>
        <d v="2021-08-21T17:13:45Z"/>
        <d v="2021-08-23T05:53:58Z"/>
        <d v="2021-08-25T02:34:11Z"/>
        <d v="2021-08-27T07:14:24Z"/>
        <d v="2021-08-28T18:54:37Z"/>
        <d v="2021-08-30T16:34:50Z"/>
        <d v="2021-09-06T21:15:03Z"/>
        <d v="2021-09-02T19:55:16Z"/>
        <d v="2021-09-05T06:35:29Z"/>
        <d v="2021-09-06T14:35:29Z"/>
        <d v="2021-09-08T03:45:03Z"/>
        <d v="2021-09-10T01:55:16Z"/>
        <d v="2021-09-12T06:35:29Z"/>
        <d v="2021-09-13T16:35:29Z"/>
        <d v="2021-09-15T21:15:03Z"/>
        <d v="2021-09-17T01:55:16Z"/>
        <d v="2021-09-19T06:35:29Z"/>
        <d v="2021-09-21T06:35:29Z"/>
      </sharedItems>
    </cacheField>
    <cacheField name="outlet_id" numFmtId="0">
      <sharedItems>
        <s v="wrqy-juv-978"/>
        <s v="8woh-k3u-23b"/>
        <s v="bckt-klj-1ct"/>
        <s v="5tpc-qpd-dr1"/>
        <s v="mxqr-lta-7kp"/>
        <s v="vdlg-wqf-92m"/>
        <s v="rjtn-pkc-4db"/>
        <s v="kpue-zlm-8tq"/>
        <s v="sqmn-hde-19c"/>
        <s v="twbf-rsj-77a"/>
        <s v="ghyp-nqv-53t"/>
        <s v="cbrl-kdu-6yx"/>
        <s v="lqtp-bsm-03r"/>
        <s v="yhnc-vqp-2kd"/>
        <s v="frme-jlt-89b"/>
        <s v="wdnk-rpv-14e"/>
        <s v="zqhv-mss-6gb"/>
        <s v="nbtu-kfr-51w"/>
        <s v="pkgt-ypt-22k"/>
      </sharedItems>
    </cacheField>
    <cacheField name="cms_id" numFmtId="0">
      <sharedItems>
        <s v="vew-iuvd-12"/>
        <s v="kbj-pecf-42"/>
        <s v="vew-iuvd-13"/>
        <s v="kbj-pecf-43"/>
        <s v="vew-iuvd-14"/>
        <s v="kbj-pecf-44"/>
        <s v="vew-iuvd-15"/>
        <s v="kbj-pecf-45"/>
        <s v="vew-iuvd-16"/>
        <s v="kbj-pecf-46"/>
        <s v="vew-iuvd-17"/>
        <s v="kbj-pecf-47"/>
        <s v="vew-iuvd-18"/>
        <s v="kbj-pecf-48"/>
        <s v="vew-iuvd-19"/>
        <s v="kbj-pecf-49"/>
        <s v="vew-iuvd-20"/>
        <s v="kbj-pecf-50"/>
        <s v="vew-iuvd-21"/>
      </sharedItems>
    </cacheField>
    <cacheField name="Same_Day?" numFmtId="0">
      <sharedItems containsSemiMixedTypes="0" containsString="0" containsNumber="1" containsInteger="1">
        <n v="0.0"/>
        <n v="1.0"/>
      </sharedItems>
    </cacheField>
    <cacheField name="Same_Hour?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21" firstHeaderRow="0" firstDataRow="2" firstDataCol="0"/>
  <pivotFields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reated_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losed_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utlet_id" axis="axisRow" compact="0" outline="0" multipleItemSelectionAllowed="1" showAll="0" sortType="ascending">
      <items>
        <item x="3"/>
        <item x="1"/>
        <item x="2"/>
        <item x="11"/>
        <item x="14"/>
        <item x="10"/>
        <item x="7"/>
        <item x="12"/>
        <item x="4"/>
        <item x="17"/>
        <item x="18"/>
        <item x="6"/>
        <item x="8"/>
        <item x="9"/>
        <item x="5"/>
        <item x="15"/>
        <item x="0"/>
        <item x="13"/>
        <item x="16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me_Day?" dataField="1" compact="0" outline="0" multipleItemSelectionAllowed="1" showAll="0">
      <items>
        <item x="0"/>
        <item x="1"/>
        <item t="default"/>
      </items>
    </pivotField>
    <pivotField name="Same_Hour?" dataField="1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SUM of Same_Day?" fld="5" baseField="0"/>
    <dataField name="SUM of Same_Hour?" fld="6" baseField="0"/>
  </dataFields>
</pivotTableDefinition>
</file>

<file path=xl/tables/table1.xml><?xml version="1.0" encoding="utf-8"?>
<table xmlns="http://schemas.openxmlformats.org/spreadsheetml/2006/main" ref="A1:G20" displayName="tickets" name="tickets" id="1">
  <tableColumns count="7">
    <tableColumn name="ticket_id" id="1"/>
    <tableColumn name="created_at" id="2"/>
    <tableColumn name="closed_at" id="3"/>
    <tableColumn name="outlet_id" id="4"/>
    <tableColumn name="cms_id" id="5"/>
    <tableColumn name="Same_Day?" id="6"/>
    <tableColumn name="Same_Hour?" id="7"/>
  </tableColumns>
  <tableStyleInfo name="tickets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1" name="Table1" id="2">
  <tableColumns count="4">
    <tableColumn name="cms_id" id="1"/>
    <tableColumn name="feedback_at" id="2"/>
    <tableColumn name="feedback_rating" id="3"/>
    <tableColumn name="ticket_created_at" id="4"/>
  </tableColumns>
  <tableStyleInfo name="feedbac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3.25"/>
    <col customWidth="1" min="3" max="3" width="19.5"/>
    <col customWidth="1" min="4" max="4" width="15.25"/>
    <col customWidth="1" min="6" max="6" width="17.38"/>
    <col customWidth="1" min="7" max="7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>
        <v>44427.69841435185</v>
      </c>
      <c r="C2" s="4">
        <v>44430.52328703704</v>
      </c>
      <c r="D2" s="3" t="s">
        <v>8</v>
      </c>
      <c r="E2" s="5" t="s">
        <v>9</v>
      </c>
      <c r="F2" s="6">
        <f t="shared" ref="F2:F20" si="1"> IF(INT(B2) = INT(C2), 1, 0)</f>
        <v>0</v>
      </c>
      <c r="G2" s="6">
        <f t="shared" ref="G2:G20" si="2"> IF(HOUR(B2)=HOUR(C2), 1,0)</f>
        <v>0</v>
      </c>
    </row>
    <row r="3" ht="22.5" customHeight="1">
      <c r="A3" s="3" t="s">
        <v>10</v>
      </c>
      <c r="B3" s="4">
        <v>44429.464837962965</v>
      </c>
      <c r="C3" s="4">
        <v>44429.717881944445</v>
      </c>
      <c r="D3" s="3" t="s">
        <v>11</v>
      </c>
      <c r="E3" s="7" t="s">
        <v>12</v>
      </c>
      <c r="F3" s="6">
        <f t="shared" si="1"/>
        <v>1</v>
      </c>
      <c r="G3" s="6">
        <f t="shared" si="2"/>
        <v>0</v>
      </c>
    </row>
    <row r="4" ht="22.5" customHeight="1">
      <c r="A4" s="3" t="s">
        <v>13</v>
      </c>
      <c r="B4" s="4">
        <v>44431.231261574074</v>
      </c>
      <c r="C4" s="4">
        <v>44431.24581018519</v>
      </c>
      <c r="D4" s="8" t="s">
        <v>14</v>
      </c>
      <c r="E4" s="5" t="s">
        <v>15</v>
      </c>
      <c r="F4" s="6">
        <f t="shared" si="1"/>
        <v>1</v>
      </c>
      <c r="G4" s="6">
        <f t="shared" si="2"/>
        <v>1</v>
      </c>
    </row>
    <row r="5" ht="22.5" customHeight="1">
      <c r="A5" s="3" t="s">
        <v>16</v>
      </c>
      <c r="B5" s="4">
        <v>44432.99768518518</v>
      </c>
      <c r="C5" s="4">
        <v>44433.10707175926</v>
      </c>
      <c r="D5" s="8" t="s">
        <v>17</v>
      </c>
      <c r="E5" s="7" t="s">
        <v>18</v>
      </c>
      <c r="F5" s="6">
        <f t="shared" si="1"/>
        <v>0</v>
      </c>
      <c r="G5" s="6">
        <f t="shared" si="2"/>
        <v>0</v>
      </c>
    </row>
    <row r="6" ht="22.5" customHeight="1">
      <c r="A6" s="3" t="s">
        <v>19</v>
      </c>
      <c r="B6" s="4">
        <v>44434.7641087963</v>
      </c>
      <c r="C6" s="4">
        <v>44435.301666666666</v>
      </c>
      <c r="D6" s="8" t="s">
        <v>20</v>
      </c>
      <c r="E6" s="5" t="s">
        <v>21</v>
      </c>
      <c r="F6" s="6">
        <f t="shared" si="1"/>
        <v>0</v>
      </c>
      <c r="G6" s="6">
        <f t="shared" si="2"/>
        <v>0</v>
      </c>
    </row>
    <row r="7" ht="22.5" customHeight="1">
      <c r="A7" s="3" t="s">
        <v>22</v>
      </c>
      <c r="B7" s="4">
        <v>44436.53053240741</v>
      </c>
      <c r="C7" s="4">
        <v>44436.78792824074</v>
      </c>
      <c r="D7" s="8" t="s">
        <v>23</v>
      </c>
      <c r="E7" s="7" t="s">
        <v>24</v>
      </c>
      <c r="F7" s="6">
        <f t="shared" si="1"/>
        <v>1</v>
      </c>
      <c r="G7" s="6">
        <f t="shared" si="2"/>
        <v>0</v>
      </c>
    </row>
    <row r="8" ht="22.5" customHeight="1">
      <c r="A8" s="3" t="s">
        <v>25</v>
      </c>
      <c r="B8" s="4">
        <v>44438.296956018516</v>
      </c>
      <c r="C8" s="4">
        <v>44438.69085648148</v>
      </c>
      <c r="D8" s="8" t="s">
        <v>26</v>
      </c>
      <c r="E8" s="5" t="s">
        <v>27</v>
      </c>
      <c r="F8" s="6">
        <f t="shared" si="1"/>
        <v>1</v>
      </c>
      <c r="G8" s="6">
        <f t="shared" si="2"/>
        <v>0</v>
      </c>
    </row>
    <row r="9" ht="22.5" customHeight="1">
      <c r="A9" s="3" t="s">
        <v>28</v>
      </c>
      <c r="B9" s="4">
        <v>44440.06337962963</v>
      </c>
      <c r="C9" s="4">
        <v>44445.88545138889</v>
      </c>
      <c r="D9" s="8" t="s">
        <v>29</v>
      </c>
      <c r="E9" s="7" t="s">
        <v>30</v>
      </c>
      <c r="F9" s="6">
        <f t="shared" si="1"/>
        <v>0</v>
      </c>
      <c r="G9" s="6">
        <f t="shared" si="2"/>
        <v>0</v>
      </c>
    </row>
    <row r="10" ht="22.5" customHeight="1">
      <c r="A10" s="3" t="s">
        <v>31</v>
      </c>
      <c r="B10" s="4">
        <v>44441.808969907404</v>
      </c>
      <c r="C10" s="4">
        <v>44441.830046296294</v>
      </c>
      <c r="D10" s="8" t="s">
        <v>32</v>
      </c>
      <c r="E10" s="5" t="s">
        <v>33</v>
      </c>
      <c r="F10" s="6">
        <f t="shared" si="1"/>
        <v>1</v>
      </c>
      <c r="G10" s="6">
        <f t="shared" si="2"/>
        <v>1</v>
      </c>
    </row>
    <row r="11" ht="22.5" customHeight="1">
      <c r="A11" s="3" t="s">
        <v>34</v>
      </c>
      <c r="B11" s="4">
        <v>44443.59622685185</v>
      </c>
      <c r="C11" s="4">
        <v>44444.2746412037</v>
      </c>
      <c r="D11" s="8" t="s">
        <v>35</v>
      </c>
      <c r="E11" s="7" t="s">
        <v>36</v>
      </c>
      <c r="F11" s="6">
        <f t="shared" si="1"/>
        <v>0</v>
      </c>
      <c r="G11" s="6">
        <f t="shared" si="2"/>
        <v>0</v>
      </c>
    </row>
    <row r="12" ht="22.5" customHeight="1">
      <c r="A12" s="3" t="s">
        <v>37</v>
      </c>
      <c r="B12" s="4">
        <v>44445.362650462965</v>
      </c>
      <c r="C12" s="4">
        <v>44445.60797453704</v>
      </c>
      <c r="D12" s="8" t="s">
        <v>38</v>
      </c>
      <c r="E12" s="5" t="s">
        <v>39</v>
      </c>
      <c r="F12" s="6">
        <f t="shared" si="1"/>
        <v>1</v>
      </c>
      <c r="G12" s="6">
        <f t="shared" si="2"/>
        <v>0</v>
      </c>
    </row>
    <row r="13" ht="22.5" customHeight="1">
      <c r="A13" s="3" t="s">
        <v>40</v>
      </c>
      <c r="B13" s="4">
        <v>44447.12907407407</v>
      </c>
      <c r="C13" s="4">
        <v>44447.15628472222</v>
      </c>
      <c r="D13" s="8" t="s">
        <v>41</v>
      </c>
      <c r="E13" s="7" t="s">
        <v>42</v>
      </c>
      <c r="F13" s="6">
        <f t="shared" si="1"/>
        <v>1</v>
      </c>
      <c r="G13" s="6">
        <f t="shared" si="2"/>
        <v>1</v>
      </c>
    </row>
    <row r="14" ht="22.5" customHeight="1">
      <c r="A14" s="3" t="s">
        <v>43</v>
      </c>
      <c r="B14" s="4">
        <v>44448.89549768518</v>
      </c>
      <c r="C14" s="4">
        <v>44449.080046296294</v>
      </c>
      <c r="D14" s="8" t="s">
        <v>44</v>
      </c>
      <c r="E14" s="5" t="s">
        <v>45</v>
      </c>
      <c r="F14" s="6">
        <f t="shared" si="1"/>
        <v>0</v>
      </c>
      <c r="G14" s="6">
        <f t="shared" si="2"/>
        <v>0</v>
      </c>
    </row>
    <row r="15" ht="22.5" customHeight="1">
      <c r="A15" s="3" t="s">
        <v>46</v>
      </c>
      <c r="B15" s="4">
        <v>44450.6619212963</v>
      </c>
      <c r="C15" s="4">
        <v>44451.2746412037</v>
      </c>
      <c r="D15" s="8" t="s">
        <v>47</v>
      </c>
      <c r="E15" s="7" t="s">
        <v>48</v>
      </c>
      <c r="F15" s="6">
        <f t="shared" si="1"/>
        <v>0</v>
      </c>
      <c r="G15" s="6">
        <f t="shared" si="2"/>
        <v>0</v>
      </c>
    </row>
    <row r="16" ht="22.5" customHeight="1">
      <c r="A16" s="3" t="s">
        <v>49</v>
      </c>
      <c r="B16" s="4">
        <v>44452.42834490741</v>
      </c>
      <c r="C16" s="4">
        <v>44452.69130787037</v>
      </c>
      <c r="D16" s="8" t="s">
        <v>50</v>
      </c>
      <c r="E16" s="5" t="s">
        <v>51</v>
      </c>
      <c r="F16" s="6">
        <f t="shared" si="1"/>
        <v>1</v>
      </c>
      <c r="G16" s="6">
        <f t="shared" si="2"/>
        <v>0</v>
      </c>
    </row>
    <row r="17" ht="22.5" customHeight="1">
      <c r="A17" s="3" t="s">
        <v>52</v>
      </c>
      <c r="B17" s="4">
        <v>44454.194768518515</v>
      </c>
      <c r="C17" s="4">
        <v>44454.88545138889</v>
      </c>
      <c r="D17" s="8" t="s">
        <v>53</v>
      </c>
      <c r="E17" s="7" t="s">
        <v>54</v>
      </c>
      <c r="F17" s="6">
        <f t="shared" si="1"/>
        <v>1</v>
      </c>
      <c r="G17" s="6">
        <f t="shared" si="2"/>
        <v>0</v>
      </c>
    </row>
    <row r="18" ht="22.5" customHeight="1">
      <c r="A18" s="3" t="s">
        <v>55</v>
      </c>
      <c r="B18" s="4">
        <v>44455.96119212963</v>
      </c>
      <c r="C18" s="4">
        <v>44456.080046296294</v>
      </c>
      <c r="D18" s="8" t="s">
        <v>56</v>
      </c>
      <c r="E18" s="5" t="s">
        <v>57</v>
      </c>
      <c r="F18" s="6">
        <f t="shared" si="1"/>
        <v>0</v>
      </c>
      <c r="G18" s="6">
        <f t="shared" si="2"/>
        <v>0</v>
      </c>
    </row>
    <row r="19" ht="22.5" customHeight="1">
      <c r="A19" s="3" t="s">
        <v>58</v>
      </c>
      <c r="B19" s="4">
        <v>44457.72761574074</v>
      </c>
      <c r="C19" s="4">
        <v>44458.2746412037</v>
      </c>
      <c r="D19" s="8" t="s">
        <v>59</v>
      </c>
      <c r="E19" s="7" t="s">
        <v>60</v>
      </c>
      <c r="F19" s="6">
        <f t="shared" si="1"/>
        <v>0</v>
      </c>
      <c r="G19" s="6">
        <f t="shared" si="2"/>
        <v>0</v>
      </c>
    </row>
    <row r="20" ht="22.5" customHeight="1">
      <c r="A20" s="3" t="s">
        <v>61</v>
      </c>
      <c r="B20" s="4">
        <v>44459.494039351855</v>
      </c>
      <c r="C20" s="4">
        <v>44460.2746412037</v>
      </c>
      <c r="D20" s="8" t="s">
        <v>62</v>
      </c>
      <c r="E20" s="5" t="s">
        <v>63</v>
      </c>
      <c r="F20" s="6">
        <f t="shared" si="1"/>
        <v>0</v>
      </c>
      <c r="G20" s="6">
        <f t="shared" si="2"/>
        <v>0</v>
      </c>
    </row>
    <row r="22">
      <c r="A22" s="9"/>
    </row>
    <row r="23">
      <c r="A23" s="10"/>
    </row>
    <row r="24">
      <c r="A24" s="9"/>
    </row>
    <row r="25">
      <c r="A25" s="10"/>
    </row>
    <row r="26">
      <c r="A26" s="9"/>
    </row>
    <row r="27">
      <c r="A27" s="10"/>
    </row>
    <row r="28">
      <c r="A28" s="9"/>
    </row>
  </sheetData>
  <dataValidations>
    <dataValidation type="custom" allowBlank="1" showDropDown="1" sqref="B2:C20">
      <formula1>OR(NOT(ISERROR(DATEVALUE(B2))), AND(ISNUMBER(B2), LEFT(CELL("format", B2))="D"))</formula1>
    </dataValidation>
    <dataValidation type="custom" allowBlank="1" showDropDown="1" sqref="F2:G20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  <col customWidth="1" min="3" max="3" width="17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1.25"/>
    <col customWidth="1" min="3" max="3" width="21.5"/>
    <col customWidth="1" min="4" max="4" width="22.38"/>
  </cols>
  <sheetData>
    <row r="1" ht="22.5" customHeight="1">
      <c r="A1" s="1" t="s">
        <v>4</v>
      </c>
      <c r="B1" s="1" t="s">
        <v>67</v>
      </c>
      <c r="C1" s="1" t="s">
        <v>68</v>
      </c>
      <c r="D1" s="1" t="s">
        <v>69</v>
      </c>
    </row>
    <row r="2" ht="22.5" customHeight="1">
      <c r="A2" s="5" t="s">
        <v>9</v>
      </c>
      <c r="B2" s="4">
        <v>44429.560277777775</v>
      </c>
      <c r="C2" s="13">
        <v>4.0</v>
      </c>
      <c r="D2" s="14">
        <f t="array" ref="D2">IFERROR(VLOOKUP(A2, {tickets!$E$2:$E$20, tickets!$B$2:$B$20}, 2, FALSE), "")
</f>
        <v>44427.69841</v>
      </c>
    </row>
    <row r="3" ht="22.5" customHeight="1">
      <c r="A3" s="7" t="s">
        <v>12</v>
      </c>
      <c r="B3" s="15">
        <v>44429.75204861111</v>
      </c>
      <c r="C3" s="13">
        <v>3.0</v>
      </c>
      <c r="D3" s="14">
        <f t="array" ref="D3">IFERROR(VLOOKUP(A3, {tickets!$E$2:$E$20, tickets!$B$2:$B$20}, 2, FALSE), "")
</f>
        <v>44429.46484</v>
      </c>
    </row>
    <row r="4" ht="22.5" customHeight="1">
      <c r="A4" s="5" t="s">
        <v>15</v>
      </c>
      <c r="B4" s="15">
        <v>44431.25745370371</v>
      </c>
      <c r="C4" s="13">
        <v>5.0</v>
      </c>
      <c r="D4" s="14">
        <f t="array" ref="D4">IFERROR(VLOOKUP(A4, {tickets!$E$2:$E$20, tickets!$B$2:$B$20}, 2, FALSE), "")
</f>
        <v>44431.23126</v>
      </c>
    </row>
    <row r="5" ht="22.5" customHeight="1">
      <c r="A5" s="7" t="s">
        <v>18</v>
      </c>
      <c r="B5" s="15">
        <v>44433.13355324074</v>
      </c>
      <c r="C5" s="13">
        <v>2.0</v>
      </c>
      <c r="D5" s="14">
        <f t="array" ref="D5">IFERROR(VLOOKUP(A5, {tickets!$E$2:$E$20, tickets!$B$2:$B$20}, 2, FALSE), "")
</f>
        <v>44432.99769</v>
      </c>
    </row>
    <row r="6" ht="22.5" customHeight="1">
      <c r="A6" s="5" t="s">
        <v>21</v>
      </c>
      <c r="B6" s="15">
        <v>44435.39809027778</v>
      </c>
      <c r="C6" s="13">
        <v>4.0</v>
      </c>
      <c r="D6" s="14">
        <f t="array" ref="D6">IFERROR(VLOOKUP(A6, {tickets!$E$2:$E$20, tickets!$B$2:$B$20}, 2, FALSE), "")
</f>
        <v>44434.76411</v>
      </c>
    </row>
    <row r="7" ht="22.5" customHeight="1">
      <c r="A7" s="7" t="s">
        <v>24</v>
      </c>
      <c r="B7" s="15">
        <v>44436.816608796296</v>
      </c>
      <c r="C7" s="13">
        <v>3.0</v>
      </c>
      <c r="D7" s="14">
        <f t="array" ref="D7">IFERROR(VLOOKUP(A7, {tickets!$E$2:$E$20, tickets!$B$2:$B$20}, 2, FALSE), "")
</f>
        <v>44436.53053</v>
      </c>
    </row>
    <row r="8" ht="22.5" customHeight="1">
      <c r="A8" s="5" t="s">
        <v>27</v>
      </c>
      <c r="B8" s="15">
        <v>44438.722546296296</v>
      </c>
      <c r="C8" s="13">
        <v>5.0</v>
      </c>
      <c r="D8" s="14">
        <f t="array" ref="D8">IFERROR(VLOOKUP(A8, {tickets!$E$2:$E$20, tickets!$B$2:$B$20}, 2, FALSE), "")
</f>
        <v>44438.29696</v>
      </c>
    </row>
    <row r="9" ht="22.5" customHeight="1">
      <c r="A9" s="7" t="s">
        <v>30</v>
      </c>
      <c r="B9" s="15">
        <v>44446.3422337963</v>
      </c>
      <c r="C9" s="13">
        <v>4.0</v>
      </c>
      <c r="D9" s="14">
        <f t="array" ref="D9">IFERROR(VLOOKUP(A9, {tickets!$E$2:$E$20, tickets!$B$2:$B$20}, 2, FALSE), "")
</f>
        <v>44440.06338</v>
      </c>
    </row>
    <row r="10" ht="22.5" customHeight="1">
      <c r="A10" s="5" t="s">
        <v>33</v>
      </c>
      <c r="B10" s="15">
        <v>44441.840092592596</v>
      </c>
      <c r="C10" s="13">
        <v>2.0</v>
      </c>
      <c r="D10" s="14">
        <f t="array" ref="D10">IFERROR(VLOOKUP(A10, {tickets!$E$2:$E$20, tickets!$B$2:$B$20}, 2, FALSE), "")
</f>
        <v>44441.80897</v>
      </c>
    </row>
    <row r="11" ht="22.5" customHeight="1">
      <c r="A11" s="7" t="s">
        <v>36</v>
      </c>
      <c r="B11" s="15">
        <v>44444.383993055555</v>
      </c>
      <c r="C11" s="13">
        <v>3.0</v>
      </c>
      <c r="D11" s="14">
        <f t="array" ref="D11">IFERROR(VLOOKUP(A11, {tickets!$E$2:$E$20, tickets!$B$2:$B$20}, 2, FALSE), "")
</f>
        <v>44443.59623</v>
      </c>
    </row>
    <row r="12" ht="22.5" customHeight="1">
      <c r="A12" s="5" t="s">
        <v>39</v>
      </c>
      <c r="B12" s="15">
        <v>44445.64318287037</v>
      </c>
      <c r="C12" s="13">
        <v>4.0</v>
      </c>
      <c r="D12" s="14">
        <f t="array" ref="D12">IFERROR(VLOOKUP(A12, {tickets!$E$2:$E$20, tickets!$B$2:$B$20}, 2, FALSE), "")
</f>
        <v>44445.36265</v>
      </c>
    </row>
    <row r="13" ht="22.5" customHeight="1">
      <c r="A13" s="7" t="s">
        <v>42</v>
      </c>
      <c r="B13" s="15">
        <v>44447.16908564815</v>
      </c>
      <c r="C13" s="13">
        <v>5.0</v>
      </c>
      <c r="D13" s="14">
        <f t="array" ref="D13">IFERROR(VLOOKUP(A13, {tickets!$E$2:$E$20, tickets!$B$2:$B$20}, 2, FALSE), "")
</f>
        <v>44447.12907</v>
      </c>
    </row>
    <row r="14" ht="22.5" customHeight="1">
      <c r="A14" s="5" t="s">
        <v>45</v>
      </c>
      <c r="B14" s="15">
        <v>44449.09363425926</v>
      </c>
      <c r="C14" s="13">
        <v>3.0</v>
      </c>
      <c r="D14" s="14">
        <f t="array" ref="D14">IFERROR(VLOOKUP(A14, {tickets!$E$2:$E$20, tickets!$B$2:$B$20}, 2, FALSE), "")
</f>
        <v>44448.8955</v>
      </c>
    </row>
    <row r="15" ht="22.5" customHeight="1">
      <c r="A15" s="7" t="s">
        <v>48</v>
      </c>
      <c r="B15" s="15">
        <v>44451.319606481484</v>
      </c>
      <c r="C15" s="13">
        <v>4.0</v>
      </c>
      <c r="D15" s="14">
        <f t="array" ref="D15">IFERROR(VLOOKUP(A15, {tickets!$E$2:$E$20, tickets!$B$2:$B$20}, 2, FALSE), "")
</f>
        <v>44450.66192</v>
      </c>
    </row>
    <row r="16" ht="22.5" customHeight="1">
      <c r="A16" s="5" t="s">
        <v>51</v>
      </c>
      <c r="B16" s="15">
        <v>44452.714270833334</v>
      </c>
      <c r="C16" s="13">
        <v>5.0</v>
      </c>
      <c r="D16" s="14">
        <f t="array" ref="D16">IFERROR(VLOOKUP(A16, {tickets!$E$2:$E$20, tickets!$B$2:$B$20}, 2, FALSE), "")
</f>
        <v>44452.42834</v>
      </c>
    </row>
    <row r="17" ht="22.5" customHeight="1">
      <c r="A17" s="7" t="s">
        <v>54</v>
      </c>
      <c r="B17" s="15">
        <v>44454.91375</v>
      </c>
      <c r="C17" s="13">
        <v>2.0</v>
      </c>
      <c r="D17" s="14">
        <f t="array" ref="D17">IFERROR(VLOOKUP(A17, {tickets!$E$2:$E$20, tickets!$B$2:$B$20}, 2, FALSE), "")
</f>
        <v>44454.19477</v>
      </c>
    </row>
    <row r="18" ht="22.5" customHeight="1">
      <c r="A18" s="5" t="s">
        <v>57</v>
      </c>
      <c r="B18" s="15">
        <v>44456.09454861111</v>
      </c>
      <c r="C18" s="13">
        <v>3.0</v>
      </c>
      <c r="D18" s="14">
        <f t="array" ref="D18">IFERROR(VLOOKUP(A18, {tickets!$E$2:$E$20, tickets!$B$2:$B$20}, 2, FALSE), "")
</f>
        <v>44455.96119</v>
      </c>
    </row>
    <row r="19" ht="22.5" customHeight="1">
      <c r="A19" s="7" t="s">
        <v>60</v>
      </c>
      <c r="B19" s="15">
        <v>44458.301516203705</v>
      </c>
      <c r="C19" s="13">
        <v>4.0</v>
      </c>
      <c r="D19" s="14">
        <f t="array" ref="D19">IFERROR(VLOOKUP(A19, {tickets!$E$2:$E$20, tickets!$B$2:$B$20}, 2, FALSE), "")
</f>
        <v>44457.72762</v>
      </c>
    </row>
    <row r="20" ht="22.5" customHeight="1">
      <c r="A20" s="5" t="s">
        <v>63</v>
      </c>
      <c r="B20" s="15">
        <v>44460.294386574074</v>
      </c>
      <c r="C20" s="13">
        <v>5.0</v>
      </c>
      <c r="D20" s="14">
        <f t="array" ref="D20">IFERROR(VLOOKUP(A20, {tickets!$E$2:$E$20, tickets!$B$2:$B$20}, 2, FALSE), "")
</f>
        <v>44459.49404</v>
      </c>
    </row>
  </sheetData>
  <dataValidations>
    <dataValidation type="custom" allowBlank="1" showDropDown="1" sqref="B2:B20 D2:D20">
      <formula1>OR(NOT(ISERROR(DATEVALUE(B2))), AND(ISNUMBER(B2), LEFT(CELL("format", B2))="D"))</formula1>
    </dataValidation>
    <dataValidation type="custom" allowBlank="1" showDropDown="1" sqref="C2:C2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